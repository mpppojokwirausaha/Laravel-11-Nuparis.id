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Lingkar dalam\01.NUPARIS\01. CV NUPARIS\Pekerjaan\CV NUPARIS\Administrasi NUPARIS\Surat Penawaran\Support SPPG MBG\"/>
    </mc:Choice>
  </mc:AlternateContent>
  <xr:revisionPtr revIDLastSave="0" documentId="13_ncr:1_{097ADF0E-3747-4B09-9A58-2C29922BEC59}" xr6:coauthVersionLast="47" xr6:coauthVersionMax="47" xr10:uidLastSave="{00000000-0000-0000-0000-000000000000}"/>
  <bookViews>
    <workbookView xWindow="23100" yWindow="0" windowWidth="14910" windowHeight="10170" activeTab="1" xr2:uid="{00000000-000D-0000-FFFF-FFFF00000000}"/>
  </bookViews>
  <sheets>
    <sheet name="Sheet1" sheetId="1" r:id="rId1"/>
    <sheet name="CO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2" l="1"/>
  <c r="E10" i="2"/>
  <c r="E6" i="2"/>
  <c r="E7" i="2"/>
  <c r="E8" i="2"/>
  <c r="E11" i="2"/>
  <c r="E12" i="2"/>
  <c r="E5" i="2"/>
  <c r="E13" i="2" l="1"/>
  <c r="E14" i="2" s="1"/>
</calcChain>
</file>

<file path=xl/sharedStrings.xml><?xml version="1.0" encoding="utf-8"?>
<sst xmlns="http://schemas.openxmlformats.org/spreadsheetml/2006/main" count="24" uniqueCount="19">
  <si>
    <t>Harga Vendor</t>
  </si>
  <si>
    <t>Kebutuhan Roti perhari</t>
  </si>
  <si>
    <t>Estimasi Kebutuhan Bahan Baku (Per 500 Pcs/Hari)</t>
  </si>
  <si>
    <r>
      <t xml:space="preserve">Untuk menghasilkan 500 roti, kita membutuhkan total adonan sekitar </t>
    </r>
    <r>
      <rPr>
        <b/>
        <sz val="11"/>
        <color theme="1"/>
        <rFont val="Calibri"/>
        <family val="2"/>
        <scheme val="minor"/>
      </rPr>
      <t>25 kg</t>
    </r>
    <r>
      <rPr>
        <sz val="11"/>
        <color theme="1"/>
        <rFont val="Calibri"/>
        <family val="2"/>
        <scheme val="minor"/>
      </rPr>
      <t xml:space="preserve"> (50g per pcs).</t>
    </r>
  </si>
  <si>
    <t xml:space="preserve">BAHAN BAKU </t>
  </si>
  <si>
    <t>ESTIMASI JUMLAH</t>
  </si>
  <si>
    <t>HARGA SATUAN GROSIR</t>
  </si>
  <si>
    <t>TOTAL BIAYA/HARI</t>
  </si>
  <si>
    <t>Tepung terigu (high protein)</t>
  </si>
  <si>
    <t>Gula pasir</t>
  </si>
  <si>
    <t>Margarin/Butter</t>
  </si>
  <si>
    <r>
      <t>Telur (</t>
    </r>
    <r>
      <rPr>
        <sz val="11"/>
        <color theme="1"/>
        <rFont val="Calibri"/>
        <family val="2"/>
      </rPr>
      <t>±40 butir)</t>
    </r>
  </si>
  <si>
    <t>Ragi instan</t>
  </si>
  <si>
    <t>Susu bubuk &amp; improver</t>
  </si>
  <si>
    <t>Garam &amp; air</t>
  </si>
  <si>
    <t>Isinan (cokelat/keju/selai)</t>
  </si>
  <si>
    <t>Total bahan baku (direct material)</t>
  </si>
  <si>
    <t>per kg</t>
  </si>
  <si>
    <t>per 100gr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</si>
</sst>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p&quot;* #,##0.00_-;\-&quot;Rp&quot;* #,##0.00_-;_-&quot;Rp&quot;* &quot;-&quot;??_-;_-@_-"/>
    <numFmt numFmtId="168" formatCode="_-&quot;Rp&quot;* #,##0_-;\-&quot;Rp&quot;* #,##0_-;_-&quot;Rp&quot;* &quot;-&quot;??_-;_-@_-"/>
    <numFmt numFmtId="169" formatCode="General\ &quot;pcs&quot;"/>
    <numFmt numFmtId="174" formatCode="General\ &quot;kg&quot;"/>
    <numFmt numFmtId="175" formatCode="General\ &quot;gr&quot;"/>
    <numFmt numFmtId="176" formatCode="General\ &quot;kg (rata-rata)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8" fontId="0" fillId="0" borderId="0" xfId="1" applyNumberFormat="1" applyFont="1"/>
    <xf numFmtId="169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8" fontId="0" fillId="0" borderId="0" xfId="0" applyNumberFormat="1"/>
    <xf numFmtId="0" fontId="3" fillId="0" borderId="1" xfId="0" applyFont="1" applyBorder="1"/>
    <xf numFmtId="0" fontId="0" fillId="0" borderId="1" xfId="0" applyBorder="1"/>
    <xf numFmtId="174" fontId="0" fillId="0" borderId="1" xfId="0" applyNumberFormat="1" applyBorder="1"/>
    <xf numFmtId="168" fontId="0" fillId="0" borderId="1" xfId="1" applyNumberFormat="1" applyFont="1" applyBorder="1"/>
    <xf numFmtId="175" fontId="0" fillId="0" borderId="1" xfId="0" applyNumberFormat="1" applyBorder="1"/>
    <xf numFmtId="176" fontId="0" fillId="0" borderId="1" xfId="0" applyNumberFormat="1" applyBorder="1"/>
    <xf numFmtId="168" fontId="0" fillId="0" borderId="1" xfId="0" applyNumberFormat="1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</cellXfs>
  <cellStyles count="2">
    <cellStyle name="Mata Uang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"/>
  <sheetViews>
    <sheetView workbookViewId="0">
      <selection activeCell="C14" sqref="C14"/>
    </sheetView>
  </sheetViews>
  <sheetFormatPr defaultRowHeight="14.5" x14ac:dyDescent="0.35"/>
  <cols>
    <col min="1" max="1" width="20.36328125" bestFit="1" customWidth="1"/>
    <col min="2" max="2" width="14.36328125" bestFit="1" customWidth="1"/>
  </cols>
  <sheetData>
    <row r="2" spans="1:2" x14ac:dyDescent="0.35">
      <c r="A2" t="s">
        <v>0</v>
      </c>
      <c r="B2" s="1">
        <v>2500</v>
      </c>
    </row>
    <row r="3" spans="1:2" x14ac:dyDescent="0.35">
      <c r="A3" t="s">
        <v>1</v>
      </c>
      <c r="B3" s="2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9B072-5EA2-47B6-AFF4-1EFE96C1FCA0}">
  <dimension ref="A1:E14"/>
  <sheetViews>
    <sheetView tabSelected="1" workbookViewId="0">
      <selection activeCell="C10" sqref="C10"/>
    </sheetView>
  </sheetViews>
  <sheetFormatPr defaultRowHeight="14.5" x14ac:dyDescent="0.35"/>
  <cols>
    <col min="1" max="1" width="29.26953125" customWidth="1"/>
    <col min="2" max="2" width="16.08984375" bestFit="1" customWidth="1"/>
    <col min="3" max="3" width="21.08984375" bestFit="1" customWidth="1"/>
    <col min="4" max="4" width="11.7265625" customWidth="1"/>
    <col min="5" max="5" width="16.6328125" bestFit="1" customWidth="1"/>
  </cols>
  <sheetData>
    <row r="1" spans="1:5" ht="17.5" x14ac:dyDescent="0.35">
      <c r="A1" s="3" t="s">
        <v>2</v>
      </c>
      <c r="B1" s="3"/>
      <c r="C1" s="3"/>
      <c r="D1" s="3"/>
      <c r="E1" s="3"/>
    </row>
    <row r="2" spans="1:5" x14ac:dyDescent="0.35">
      <c r="A2" s="4" t="s">
        <v>3</v>
      </c>
      <c r="B2" s="4"/>
      <c r="C2" s="4"/>
      <c r="D2" s="4"/>
      <c r="E2" s="4"/>
    </row>
    <row r="4" spans="1:5" x14ac:dyDescent="0.35">
      <c r="A4" s="6" t="s">
        <v>4</v>
      </c>
      <c r="B4" s="6" t="s">
        <v>5</v>
      </c>
      <c r="C4" s="6" t="s">
        <v>6</v>
      </c>
      <c r="D4" s="6"/>
      <c r="E4" s="6" t="s">
        <v>7</v>
      </c>
    </row>
    <row r="5" spans="1:5" x14ac:dyDescent="0.35">
      <c r="A5" s="7" t="s">
        <v>8</v>
      </c>
      <c r="B5" s="8">
        <v>15</v>
      </c>
      <c r="C5" s="9">
        <v>11500</v>
      </c>
      <c r="D5" s="7" t="s">
        <v>17</v>
      </c>
      <c r="E5" s="9">
        <f>C5*B5</f>
        <v>172500</v>
      </c>
    </row>
    <row r="6" spans="1:5" x14ac:dyDescent="0.35">
      <c r="A6" s="7" t="s">
        <v>9</v>
      </c>
      <c r="B6" s="8">
        <v>3</v>
      </c>
      <c r="C6" s="9">
        <v>17000</v>
      </c>
      <c r="D6" s="7" t="s">
        <v>17</v>
      </c>
      <c r="E6" s="9">
        <f t="shared" ref="E6:E12" si="0">C6*B6</f>
        <v>51000</v>
      </c>
    </row>
    <row r="7" spans="1:5" x14ac:dyDescent="0.35">
      <c r="A7" s="7" t="s">
        <v>10</v>
      </c>
      <c r="B7" s="8">
        <v>2.5</v>
      </c>
      <c r="C7" s="9">
        <v>15000</v>
      </c>
      <c r="D7" s="7" t="s">
        <v>17</v>
      </c>
      <c r="E7" s="9">
        <f t="shared" si="0"/>
        <v>37500</v>
      </c>
    </row>
    <row r="8" spans="1:5" x14ac:dyDescent="0.35">
      <c r="A8" s="7" t="s">
        <v>11</v>
      </c>
      <c r="B8" s="8">
        <v>2.5</v>
      </c>
      <c r="C8" s="9">
        <v>29000</v>
      </c>
      <c r="D8" s="7" t="s">
        <v>17</v>
      </c>
      <c r="E8" s="9">
        <f t="shared" si="0"/>
        <v>72500</v>
      </c>
    </row>
    <row r="9" spans="1:5" x14ac:dyDescent="0.35">
      <c r="A9" s="7" t="s">
        <v>12</v>
      </c>
      <c r="B9" s="10">
        <v>250</v>
      </c>
      <c r="C9" s="9">
        <v>15000</v>
      </c>
      <c r="D9" s="7" t="s">
        <v>18</v>
      </c>
      <c r="E9" s="9">
        <f>(C9*B9)/100</f>
        <v>37500</v>
      </c>
    </row>
    <row r="10" spans="1:5" x14ac:dyDescent="0.35">
      <c r="A10" s="7" t="s">
        <v>13</v>
      </c>
      <c r="B10" s="10">
        <v>500</v>
      </c>
      <c r="C10" s="9">
        <v>50000</v>
      </c>
      <c r="D10" s="7" t="s">
        <v>17</v>
      </c>
      <c r="E10" s="9">
        <f>(C10*B10)/1000</f>
        <v>25000</v>
      </c>
    </row>
    <row r="11" spans="1:5" x14ac:dyDescent="0.35">
      <c r="A11" s="7" t="s">
        <v>14</v>
      </c>
      <c r="B11" s="7"/>
      <c r="C11" s="9"/>
      <c r="D11" s="7"/>
      <c r="E11" s="9">
        <f t="shared" si="0"/>
        <v>0</v>
      </c>
    </row>
    <row r="12" spans="1:5" x14ac:dyDescent="0.35">
      <c r="A12" s="7" t="s">
        <v>15</v>
      </c>
      <c r="B12" s="11">
        <v>5</v>
      </c>
      <c r="C12" s="9">
        <v>22000</v>
      </c>
      <c r="D12" s="7" t="s">
        <v>17</v>
      </c>
      <c r="E12" s="9">
        <f t="shared" si="0"/>
        <v>110000</v>
      </c>
    </row>
    <row r="13" spans="1:5" x14ac:dyDescent="0.35">
      <c r="A13" s="13" t="s">
        <v>16</v>
      </c>
      <c r="B13" s="14"/>
      <c r="C13" s="14"/>
      <c r="D13" s="15"/>
      <c r="E13" s="12">
        <f>SUM(E5:E12)</f>
        <v>506000</v>
      </c>
    </row>
    <row r="14" spans="1:5" x14ac:dyDescent="0.35">
      <c r="E14" s="5">
        <f>E13/500</f>
        <v>1012</v>
      </c>
    </row>
  </sheetData>
  <mergeCells count="3">
    <mergeCell ref="A1:E1"/>
    <mergeCell ref="A2:E2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Sheet1</vt:lpstr>
      <vt:lpstr>COGS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Al Farisi</dc:creator>
  <cp:lastModifiedBy>Salman Al Farisi</cp:lastModifiedBy>
  <dcterms:created xsi:type="dcterms:W3CDTF">2015-06-05T18:17:20Z</dcterms:created>
  <dcterms:modified xsi:type="dcterms:W3CDTF">2026-02-22T05:25:36Z</dcterms:modified>
</cp:coreProperties>
</file>